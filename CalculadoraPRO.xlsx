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dora" sheetId="1" state="visible" r:id="rId1"/>
    <sheet xmlns:r="http://schemas.openxmlformats.org/officeDocument/2006/relationships" name="A cuanto vendo" sheetId="2" state="visible" r:id="rId2"/>
    <sheet xmlns:r="http://schemas.openxmlformats.org/officeDocument/2006/relationships" name="Monedas" sheetId="3" state="visible" r:id="rId3"/>
    <sheet xmlns:r="http://schemas.openxmlformats.org/officeDocument/2006/relationships" name="Como usarl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8B7BA8"/>
      <sz val="9"/>
    </font>
    <font>
      <b val="1"/>
      <sz val="10"/>
    </font>
    <font>
      <b val="1"/>
      <sz val="11"/>
    </font>
    <font>
      <b val="1"/>
      <color rgb="00FFFFFF"/>
      <sz val="10"/>
    </font>
    <font>
      <color rgb="00000000"/>
      <sz val="11"/>
    </font>
    <font>
      <b val="1"/>
      <color rgb="001B5E20"/>
      <sz val="11"/>
    </font>
    <font>
      <b val="1"/>
      <color rgb="001B5E20"/>
      <sz val="14"/>
    </font>
    <font>
      <b val="1"/>
      <color rgb="001B5E20"/>
      <sz val="13"/>
    </font>
    <font>
      <b val="1"/>
      <color rgb="001B5E20"/>
      <sz val="16"/>
    </font>
    <font>
      <b val="1"/>
    </font>
    <font>
      <sz val="10"/>
    </font>
  </fonts>
  <fills count="6">
    <fill>
      <patternFill/>
    </fill>
    <fill>
      <patternFill patternType="gray125"/>
    </fill>
    <fill>
      <patternFill patternType="solid">
        <fgColor rgb="005B1E9E"/>
      </patternFill>
    </fill>
    <fill>
      <patternFill patternType="solid">
        <fgColor rgb="00F5EDFF"/>
      </patternFill>
    </fill>
    <fill>
      <patternFill patternType="solid">
        <fgColor rgb="007B2FF7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5" borderId="0" pivotButton="0" quotePrefix="0" xfId="0"/>
    <xf numFmtId="0" fontId="4" fillId="0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5" borderId="0" pivotButton="0" quotePrefix="0" xfId="0"/>
    <xf numFmtId="0" fontId="11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11" fillId="3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2FF7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5" customWidth="1" min="4" max="4"/>
    <col width="15" customWidth="1" min="5" max="5"/>
    <col width="10" customWidth="1" min="6" max="6"/>
  </cols>
  <sheetData>
    <row r="1">
      <c r="A1" s="1" t="inlineStr">
        <is>
          <t>🧮 CALCULADORA DEL VENDEDOR — escribe solo las casillas blancas</t>
        </is>
      </c>
    </row>
    <row r="2">
      <c r="A2" s="2" t="inlineStr">
        <is>
          <t>Todo se calcula SOLO. Tú escribes B, C y D. La ganancia real ya trae la comisión descontada.</t>
        </is>
      </c>
    </row>
    <row r="3">
      <c r="A3" s="3" t="inlineStr">
        <is>
          <t>Moneda de la lista:</t>
        </is>
      </c>
      <c r="B3" s="4" t="inlineStr">
        <is>
          <t>CUP</t>
        </is>
      </c>
      <c r="C3" s="2" t="inlineStr">
        <is>
          <t>← elige: CUP, USD, EUR, MLC, CAD (vale para cualquier moneda)</t>
        </is>
      </c>
    </row>
    <row r="4">
      <c r="A4" s="5" t="inlineStr">
        <is>
          <t>Producto</t>
        </is>
      </c>
      <c r="B4" s="5" t="inlineStr">
        <is>
          <t>Costo</t>
        </is>
      </c>
      <c r="C4" s="5" t="inlineStr">
        <is>
          <t>Precio de venta</t>
        </is>
      </c>
      <c r="D4" s="5" t="inlineStr">
        <is>
          <t>Comisión % (transferencia)</t>
        </is>
      </c>
      <c r="E4" s="5" t="inlineStr">
        <is>
          <t>GANANCIA REAL</t>
        </is>
      </c>
      <c r="F4" s="5" t="inlineStr">
        <is>
          <t>Margen %</t>
        </is>
      </c>
    </row>
    <row r="5">
      <c r="A5" s="6" t="inlineStr">
        <is>
          <t>Café (libra)</t>
        </is>
      </c>
      <c r="B5" s="7" t="n">
        <v>800</v>
      </c>
      <c r="C5" s="7" t="n">
        <v>1200</v>
      </c>
      <c r="D5" s="7" t="n">
        <v>2</v>
      </c>
      <c r="E5" s="8">
        <f>IF(OR(B5="",C5=""),"",C5*(1-D5/100)-B5)</f>
        <v/>
      </c>
      <c r="F5" s="8">
        <f>IF(OR(B5="",C5="",C5=0),"",(C5*(1-D5/100)-B5)/C5*100)</f>
        <v/>
      </c>
    </row>
    <row r="6">
      <c r="A6" s="6" t="inlineStr">
        <is>
          <t>Cigarro (caja)</t>
        </is>
      </c>
      <c r="B6" s="7" t="n">
        <v>2500</v>
      </c>
      <c r="C6" s="7" t="n">
        <v>3500</v>
      </c>
      <c r="D6" s="7" t="n">
        <v>2</v>
      </c>
      <c r="E6" s="8">
        <f>IF(OR(B6="",C6=""),"",C6*(1-D6/100)-B6)</f>
        <v/>
      </c>
      <c r="F6" s="8">
        <f>IF(OR(B6="",C6="",C6=0),"",(C6*(1-D6/100)-B6)/C6*100)</f>
        <v/>
      </c>
    </row>
    <row r="7">
      <c r="A7" s="6" t="inlineStr">
        <is>
          <t>Pan (unidad)</t>
        </is>
      </c>
      <c r="B7" s="7" t="n">
        <v>60</v>
      </c>
      <c r="C7" s="7" t="n">
        <v>120</v>
      </c>
      <c r="D7" s="7" t="n">
        <v>2</v>
      </c>
      <c r="E7" s="8">
        <f>IF(OR(B7="",C7=""),"",C7*(1-D7/100)-B7)</f>
        <v/>
      </c>
      <c r="F7" s="8">
        <f>IF(OR(B7="",C7="",C7=0),"",(C7*(1-D7/100)-B7)/C7*100)</f>
        <v/>
      </c>
    </row>
    <row r="8">
      <c r="A8" s="6" t="n"/>
      <c r="B8" s="7" t="n"/>
      <c r="C8" s="7" t="n"/>
      <c r="D8" s="7" t="n"/>
      <c r="E8" s="8">
        <f>IF(OR(B8="",C8=""),"",C8*(1-D8/100)-B8)</f>
        <v/>
      </c>
      <c r="F8" s="8">
        <f>IF(OR(B8="",C8="",C8=0),"",(C8*(1-D8/100)-B8)/C8*100)</f>
        <v/>
      </c>
    </row>
    <row r="9">
      <c r="A9" s="6" t="n"/>
      <c r="B9" s="7" t="n"/>
      <c r="C9" s="7" t="n"/>
      <c r="D9" s="7" t="n"/>
      <c r="E9" s="8">
        <f>IF(OR(B9="",C9=""),"",C9*(1-D9/100)-B9)</f>
        <v/>
      </c>
      <c r="F9" s="8">
        <f>IF(OR(B9="",C9="",C9=0),"",(C9*(1-D9/100)-B9)/C9*100)</f>
        <v/>
      </c>
    </row>
    <row r="10">
      <c r="A10" s="6" t="n"/>
      <c r="B10" s="7" t="n"/>
      <c r="C10" s="7" t="n"/>
      <c r="D10" s="7" t="n"/>
      <c r="E10" s="8">
        <f>IF(OR(B10="",C10=""),"",C10*(1-D10/100)-B10)</f>
        <v/>
      </c>
      <c r="F10" s="8">
        <f>IF(OR(B10="",C10="",C10=0),"",(C10*(1-D10/100)-B10)/C10*100)</f>
        <v/>
      </c>
    </row>
    <row r="11">
      <c r="A11" s="6" t="n"/>
      <c r="B11" s="7" t="n"/>
      <c r="C11" s="7" t="n"/>
      <c r="D11" s="7" t="n"/>
      <c r="E11" s="8">
        <f>IF(OR(B11="",C11=""),"",C11*(1-D11/100)-B11)</f>
        <v/>
      </c>
      <c r="F11" s="8">
        <f>IF(OR(B11="",C11="",C11=0),"",(C11*(1-D11/100)-B11)/C11*100)</f>
        <v/>
      </c>
    </row>
    <row r="12">
      <c r="A12" s="6" t="n"/>
      <c r="B12" s="7" t="n"/>
      <c r="C12" s="7" t="n"/>
      <c r="D12" s="7" t="n"/>
      <c r="E12" s="8">
        <f>IF(OR(B12="",C12=""),"",C12*(1-D12/100)-B12)</f>
        <v/>
      </c>
      <c r="F12" s="8">
        <f>IF(OR(B12="",C12="",C12=0),"",(C12*(1-D12/100)-B12)/C12*100)</f>
        <v/>
      </c>
    </row>
    <row r="13">
      <c r="A13" s="6" t="n"/>
      <c r="B13" s="7" t="n"/>
      <c r="C13" s="7" t="n"/>
      <c r="D13" s="7" t="n"/>
      <c r="E13" s="8">
        <f>IF(OR(B13="",C13=""),"",C13*(1-D13/100)-B13)</f>
        <v/>
      </c>
      <c r="F13" s="8">
        <f>IF(OR(B13="",C13="",C13=0),"",(C13*(1-D13/100)-B13)/C13*100)</f>
        <v/>
      </c>
    </row>
    <row r="14">
      <c r="A14" s="6" t="n"/>
      <c r="B14" s="7" t="n"/>
      <c r="C14" s="7" t="n"/>
      <c r="D14" s="7" t="n"/>
      <c r="E14" s="8">
        <f>IF(OR(B14="",C14=""),"",C14*(1-D14/100)-B14)</f>
        <v/>
      </c>
      <c r="F14" s="8">
        <f>IF(OR(B14="",C14="",C14=0),"",(C14*(1-D14/100)-B14)/C14*100)</f>
        <v/>
      </c>
    </row>
    <row r="15">
      <c r="A15" s="6" t="n"/>
      <c r="B15" s="7" t="n"/>
      <c r="C15" s="7" t="n"/>
      <c r="D15" s="7" t="n"/>
      <c r="E15" s="8">
        <f>IF(OR(B15="",C15=""),"",C15*(1-D15/100)-B15)</f>
        <v/>
      </c>
      <c r="F15" s="8">
        <f>IF(OR(B15="",C15="",C15=0),"",(C15*(1-D15/100)-B15)/C15*100)</f>
        <v/>
      </c>
    </row>
    <row r="16">
      <c r="A16" s="6" t="n"/>
      <c r="B16" s="7" t="n"/>
      <c r="C16" s="7" t="n"/>
      <c r="D16" s="7" t="n"/>
      <c r="E16" s="8">
        <f>IF(OR(B16="",C16=""),"",C16*(1-D16/100)-B16)</f>
        <v/>
      </c>
      <c r="F16" s="8">
        <f>IF(OR(B16="",C16="",C16=0),"",(C16*(1-D16/100)-B16)/C16*100)</f>
        <v/>
      </c>
    </row>
    <row r="17">
      <c r="A17" s="6" t="n"/>
      <c r="B17" s="7" t="n"/>
      <c r="C17" s="7" t="n"/>
      <c r="D17" s="7" t="n"/>
      <c r="E17" s="8">
        <f>IF(OR(B17="",C17=""),"",C17*(1-D17/100)-B17)</f>
        <v/>
      </c>
      <c r="F17" s="8">
        <f>IF(OR(B17="",C17="",C17=0),"",(C17*(1-D17/100)-B17)/C17*100)</f>
        <v/>
      </c>
    </row>
    <row r="18">
      <c r="A18" s="6" t="n"/>
      <c r="B18" s="7" t="n"/>
      <c r="C18" s="7" t="n"/>
      <c r="D18" s="7" t="n"/>
      <c r="E18" s="8">
        <f>IF(OR(B18="",C18=""),"",C18*(1-D18/100)-B18)</f>
        <v/>
      </c>
      <c r="F18" s="8">
        <f>IF(OR(B18="",C18="",C18=0),"",(C18*(1-D18/100)-B18)/C18*100)</f>
        <v/>
      </c>
    </row>
    <row r="19">
      <c r="A19" s="6" t="n"/>
      <c r="B19" s="7" t="n"/>
      <c r="C19" s="7" t="n"/>
      <c r="D19" s="7" t="n"/>
      <c r="E19" s="8">
        <f>IF(OR(B19="",C19=""),"",C19*(1-D19/100)-B19)</f>
        <v/>
      </c>
      <c r="F19" s="8">
        <f>IF(OR(B19="",C19="",C19=0),"",(C19*(1-D19/100)-B19)/C19*100)</f>
        <v/>
      </c>
    </row>
    <row r="20">
      <c r="A20" s="6" t="n"/>
      <c r="B20" s="7" t="n"/>
      <c r="C20" s="7" t="n"/>
      <c r="D20" s="7" t="n"/>
      <c r="E20" s="8">
        <f>IF(OR(B20="",C20=""),"",C20*(1-D20/100)-B20)</f>
        <v/>
      </c>
      <c r="F20" s="8">
        <f>IF(OR(B20="",C20="",C20=0),"",(C20*(1-D20/100)-B20)/C20*100)</f>
        <v/>
      </c>
    </row>
    <row r="21">
      <c r="A21" s="9" t="inlineStr">
        <is>
          <t>GANANCIA TOTAL de la lista (en tu moneda):</t>
        </is>
      </c>
      <c r="E21" s="10">
        <f>SUM(E5:E20)</f>
        <v/>
      </c>
    </row>
  </sheetData>
  <mergeCells count="3">
    <mergeCell ref="A2:F2"/>
    <mergeCell ref="A1:F1"/>
    <mergeCell ref="C3:F3"/>
  </mergeCells>
  <dataValidations count="1">
    <dataValidation sqref="B3" showDropDown="0" showInputMessage="0" showErrorMessage="0" allowBlank="1" type="list">
      <formula1>"CUP,USD,EUR,MLC,CAD"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72FB8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🎯 ¿Quieres ganar X? Aquí te digo a cuánto vender</t>
        </is>
      </c>
    </row>
    <row r="2">
      <c r="A2" s="9" t="inlineStr">
        <is>
          <t>¿Cuánto te costó?</t>
        </is>
      </c>
      <c r="B2" s="7" t="n">
        <v>800</v>
      </c>
    </row>
    <row r="3">
      <c r="A3" s="9" t="inlineStr">
        <is>
          <t>¿Cuánto quieres ganar?</t>
        </is>
      </c>
      <c r="B3" s="7" t="n">
        <v>300</v>
      </c>
    </row>
    <row r="4">
      <c r="A4" s="9" t="inlineStr">
        <is>
          <t>Comisión % (transferencia)</t>
        </is>
      </c>
      <c r="B4" s="7" t="n">
        <v>2</v>
      </c>
    </row>
    <row r="5">
      <c r="A5" s="11" t="inlineStr">
        <is>
          <t>PONLE ESTE PRECIO:</t>
        </is>
      </c>
      <c r="B5" s="12">
        <f>(B2+B3)/(1-B4/100)</f>
        <v/>
      </c>
    </row>
    <row r="6">
      <c r="A6" s="2" t="inlineStr">
        <is>
          <t>(comisión ya incluida — redondea hacia arriba y nadie se molesta 😉)</t>
        </is>
      </c>
    </row>
    <row r="7">
      <c r="A7" s="3" t="inlineStr">
        <is>
          <t>Moneda (para tu referencia):</t>
        </is>
      </c>
      <c r="B7" s="13" t="inlineStr">
        <is>
          <t>CUP</t>
        </is>
      </c>
    </row>
  </sheetData>
  <mergeCells count="2">
    <mergeCell ref="A6:B6"/>
    <mergeCell ref="A1:B1"/>
  </mergeCells>
  <dataValidations count="1">
    <dataValidation sqref="B7" showDropDown="0" showInputMessage="0" showErrorMessage="0" allowBlank="1" type="list">
      <formula1>"CUP,USD,EUR,MLC,CAD"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C853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💱 CONVERSOR DE MONEDAS — funciona en cualquier moneda</t>
        </is>
      </c>
    </row>
    <row r="2">
      <c r="A2" s="2" t="inlineStr">
        <is>
          <t>Pon la TASA DEL DÍA en la columna blanca (cambian a diario). Las de abajo son solo ejemplo.</t>
        </is>
      </c>
    </row>
    <row r="4">
      <c r="A4" s="14" t="inlineStr">
        <is>
          <t>Moneda</t>
        </is>
      </c>
      <c r="B4" s="14" t="inlineStr">
        <is>
          <t>Cuánto vale en CUP (tasa del día)</t>
        </is>
      </c>
    </row>
    <row r="5">
      <c r="A5" s="15" t="inlineStr">
        <is>
          <t>CUP</t>
        </is>
      </c>
      <c r="B5" s="7" t="n">
        <v>1</v>
      </c>
    </row>
    <row r="6">
      <c r="A6" s="15" t="inlineStr">
        <is>
          <t>USD</t>
        </is>
      </c>
      <c r="B6" s="7" t="n">
        <v>400</v>
      </c>
    </row>
    <row r="7">
      <c r="A7" s="15" t="inlineStr">
        <is>
          <t>EUR</t>
        </is>
      </c>
      <c r="B7" s="7" t="n">
        <v>400</v>
      </c>
    </row>
    <row r="8">
      <c r="A8" s="15" t="inlineStr">
        <is>
          <t>MLC</t>
        </is>
      </c>
      <c r="B8" s="7" t="n">
        <v>250</v>
      </c>
    </row>
    <row r="9">
      <c r="A9" s="15" t="inlineStr">
        <is>
          <t>CAD</t>
        </is>
      </c>
      <c r="B9" s="7" t="n">
        <v>300</v>
      </c>
    </row>
    <row r="11">
      <c r="A11" s="9" t="inlineStr">
        <is>
          <t>Cantidad a convertir:</t>
        </is>
      </c>
      <c r="B11" s="7" t="n">
        <v>20</v>
      </c>
    </row>
    <row r="12">
      <c r="A12" s="9" t="inlineStr">
        <is>
          <t>De la moneda:</t>
        </is>
      </c>
      <c r="B12" s="13" t="inlineStr">
        <is>
          <t>USD</t>
        </is>
      </c>
    </row>
    <row r="13">
      <c r="A13" s="9" t="inlineStr">
        <is>
          <t>A la moneda:</t>
        </is>
      </c>
      <c r="B13" s="13" t="inlineStr">
        <is>
          <t>CUP</t>
        </is>
      </c>
    </row>
    <row r="14">
      <c r="A14" s="11" t="inlineStr">
        <is>
          <t>RECIBES:</t>
        </is>
      </c>
      <c r="B14" s="12">
        <f>IF(OR(B11="",B12="",B13=""),"",B11*VLOOKUP(B12,$A$5:$B$9,2,0)/VLOOKUP(B13,$A$5:$B$9,2,0))</f>
        <v/>
      </c>
    </row>
    <row r="16">
      <c r="A16" s="2" t="inlineStr">
        <is>
          <t>💡 Compraste en USD y vendes en CUP (o EUR, MLC...)? Convierte tu costo aquí y ponlo en la hoja 'Calculadora'.</t>
        </is>
      </c>
    </row>
  </sheetData>
  <mergeCells count="3">
    <mergeCell ref="A2:E2"/>
    <mergeCell ref="A16:E16"/>
    <mergeCell ref="A1:E1"/>
  </mergeCells>
  <dataValidations count="1">
    <dataValidation sqref="B12 B13" showDropDown="0" showInputMessage="0" showErrorMessage="0" allowBlank="1" type="list">
      <formula1>=$A$5:$A$9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107"/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📘 CÓMO USAR TU CALCULADORA PRO</t>
        </is>
      </c>
    </row>
    <row r="2">
      <c r="A2" s="3" t="inlineStr">
        <is>
          <t>1. TODO SE CALCULA SOLO: tú solo escribes en las casillas blancas. Nada de fórmulas.</t>
        </is>
      </c>
    </row>
    <row r="3">
      <c r="A3" s="3" t="inlineStr">
        <is>
          <t>2. Hoja 'Calculadora': elige tu MONEDA arriba (CUP, USD, EUR, MLC, CAD). Escribe producto,</t>
        </is>
      </c>
    </row>
    <row r="4">
      <c r="A4" s="16" t="inlineStr">
        <is>
          <t xml:space="preserve">   costo, precio y la comisión % de la transferencia (en Cuba suele ser 2-4%).</t>
        </is>
      </c>
    </row>
    <row r="5">
      <c r="A5" s="3" t="inlineStr">
        <is>
          <t xml:space="preserve">   La GANANCIA REAL y el margen salen solos — ya con la comisión descontada.</t>
        </is>
      </c>
    </row>
    <row r="6">
      <c r="A6" s="16" t="inlineStr">
        <is>
          <t>3. Hoja 'A cuanto vendo': pon cuánto te costó y cuánto quieres ganar → te da el precio</t>
        </is>
      </c>
    </row>
    <row r="7">
      <c r="A7" s="3" t="inlineStr">
        <is>
          <t xml:space="preserve">   exacto para ponerle (comisión incluida).</t>
        </is>
      </c>
    </row>
    <row r="8">
      <c r="A8" s="16" t="inlineStr">
        <is>
          <t>4. Hoja 'Monedas': pon las tasas del día y convierte cualquier cantidad entre monedas</t>
        </is>
      </c>
    </row>
    <row r="9">
      <c r="A9" s="3" t="inlineStr">
        <is>
          <t xml:space="preserve">   (USD, EUR, MLC, CUP, CAD...). Ideal si compras en una moneda y vendes en otra.</t>
        </is>
      </c>
    </row>
    <row r="10">
      <c r="A10" s="16" t="inlineStr">
        <is>
          <t>5. Las casillas con ejemplos (café, cigarro, pan, tasas 400/250/300) son solo ejemplos:</t>
        </is>
      </c>
    </row>
    <row r="11">
      <c r="A11" s="3" t="inlineStr">
        <is>
          <t xml:space="preserve">   escríbeles encima con tus números.</t>
        </is>
      </c>
    </row>
    <row r="12">
      <c r="A12" s="16" t="inlineStr">
        <is>
          <t>6. Funciona SIN internet en Excel, WPS Office o Google Sheets. Es tuya para siempre.</t>
        </is>
      </c>
    </row>
    <row r="13">
      <c r="A13" s="3" t="inlineStr">
        <is>
          <t>🚀 Hecho por DESPEGUE DIGITAL — t.me/Despeguedijitalbot</t>
        </is>
      </c>
    </row>
    <row r="14">
      <c r="A14" s="16" t="inlineStr">
        <is>
          <t>🛒 Más herramientas para tu negocio: https://mia9911.github.io/despegue-digital/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2026-09-26T01:54:55Z</dcterms:created>
  <dcterms:modified xmlns:dcterms="http://purl.org/dc/terms/" xmlns:xsi="http://www.w3.org/2001/XMLSchema-instance" xsi:type="dcterms:W3CDTF">2026-09-26T01:54:55Z</dcterms:modified>
</cp:coreProperties>
</file>